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\x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6B7280"/>
      <sz val="9"/>
    </font>
    <font>
      <name val="Arial"/>
      <b val="1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" fontId="5" fillId="0" borderId="0" pivotButton="0" quotePrefix="0" xfId="0"/>
    <xf numFmtId="0" fontId="6" fillId="0" borderId="0" pivotButton="0" quotePrefix="0" xfId="0"/>
    <xf numFmtId="9" fontId="4" fillId="3" borderId="0" pivotButton="0" quotePrefix="0" xfId="0"/>
    <xf numFmtId="164" fontId="5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7" fillId="0" borderId="1" pivotButton="0" quotePrefix="0" xfId="0"/>
    <xf numFmtId="166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</cols>
  <sheetData>
    <row r="1">
      <c r="A1" s="1" t="inlineStr">
        <is>
          <t>CareYield ROI calculator — assumptions</t>
        </is>
      </c>
    </row>
    <row r="2">
      <c r="A2" s="2" t="inlineStr">
        <is>
          <t>Blue cells are practice levers you can change. Yellow cells are the model's fixed assumptions.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4" t="inlineStr">
        <is>
          <t>Participating GPs</t>
        </is>
      </c>
      <c r="B4" s="5" t="n">
        <v>10</v>
      </c>
      <c r="C4" s="6" t="inlineStr">
        <is>
          <t>Practice lever</t>
        </is>
      </c>
    </row>
    <row r="5">
      <c r="A5" s="4" t="inlineStr">
        <is>
          <t>Bookable slots per GP per week</t>
        </is>
      </c>
      <c r="B5" s="5" t="n">
        <v>120</v>
      </c>
      <c r="C5" s="6" t="inlineStr">
        <is>
          <t>24 slots/day x 5 days (W3)</t>
        </is>
      </c>
    </row>
    <row r="6">
      <c r="A6" s="4" t="inlineStr">
        <is>
          <t>Share of capacity unfilled</t>
        </is>
      </c>
      <c r="B6" s="7" t="n">
        <v>0.08</v>
      </c>
      <c r="C6" s="6" t="inlineStr">
        <is>
          <t>W3 synthetic calibration</t>
        </is>
      </c>
    </row>
    <row r="7">
      <c r="A7" s="4" t="inlineStr">
        <is>
          <t>Share of open slots CareYield fills</t>
        </is>
      </c>
      <c r="B7" s="7" t="n">
        <v>0.25</v>
      </c>
      <c r="C7" s="6" t="inlineStr">
        <is>
          <t>W12 sim response rate</t>
        </is>
      </c>
    </row>
    <row r="8">
      <c r="A8" s="4" t="inlineStr">
        <is>
          <t>Did-not-attend rate on generated bookings</t>
        </is>
      </c>
      <c r="B8" s="7" t="n">
        <v>0.05</v>
      </c>
      <c r="C8" s="6" t="inlineStr">
        <is>
          <t>W12 sim</t>
        </is>
      </c>
    </row>
    <row r="9">
      <c r="A9" s="4" t="inlineStr">
        <is>
          <t>Share of attended visits that are incremental</t>
        </is>
      </c>
      <c r="B9" s="7" t="n">
        <v>0.6</v>
      </c>
      <c r="C9" s="6" t="inlineStr">
        <is>
          <t>holdout-adjusted; not displaced</t>
        </is>
      </c>
    </row>
    <row r="10">
      <c r="A10" s="4" t="inlineStr">
        <is>
          <t>Practice billing per attended visit (AUD)</t>
        </is>
      </c>
      <c r="B10" s="8" t="n">
        <v>80</v>
      </c>
      <c r="C10" s="6" t="inlineStr">
        <is>
          <t>W20 default; practice-set</t>
        </is>
      </c>
    </row>
    <row r="11">
      <c r="A11" s="4" t="inlineStr">
        <is>
          <t>CareYield subscription (AUD/month)</t>
        </is>
      </c>
      <c r="B11" s="8" t="n">
        <v>990</v>
      </c>
      <c r="C11" s="6" t="inlineStr">
        <is>
          <t>pricing assumption — finalised W47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Results</t>
        </is>
      </c>
    </row>
    <row r="2">
      <c r="A2" s="2" t="inlineStr">
        <is>
          <t>Change any blue input on the Assumptions sheet and every figure here recalculates.</t>
        </is>
      </c>
    </row>
    <row r="3">
      <c r="A3" s="3" t="inlineStr">
        <is>
          <t>Measure</t>
        </is>
      </c>
      <c r="B3" s="3" t="inlineStr">
        <is>
          <t>Value</t>
        </is>
      </c>
    </row>
    <row r="4">
      <c r="A4" s="9" t="inlineStr">
        <is>
          <t>Unfilled slots per week</t>
        </is>
      </c>
      <c r="B4" s="10">
        <f>Assumptions!B4*Assumptions!B5*Assumptions!B6</f>
        <v/>
      </c>
    </row>
    <row r="5">
      <c r="A5" s="9" t="inlineStr">
        <is>
          <t>Bookings generated per week</t>
        </is>
      </c>
      <c r="B5" s="10">
        <f>B4*Assumptions!B7</f>
        <v/>
      </c>
    </row>
    <row r="6">
      <c r="A6" s="9" t="inlineStr">
        <is>
          <t>Attended per week (after DNA)</t>
        </is>
      </c>
      <c r="B6" s="10">
        <f>B5*(1-Assumptions!B8)</f>
        <v/>
      </c>
    </row>
    <row r="7">
      <c r="A7" s="9" t="inlineStr">
        <is>
          <t>Incremental attended per week</t>
        </is>
      </c>
      <c r="B7" s="10">
        <f>B6*Assumptions!B9</f>
        <v/>
      </c>
    </row>
    <row r="8">
      <c r="A8" s="9" t="inlineStr">
        <is>
          <t>Incremental revenue per week</t>
        </is>
      </c>
      <c r="B8" s="11">
        <f>B7*Assumptions!B10</f>
        <v/>
      </c>
    </row>
    <row r="9">
      <c r="A9" s="9" t="inlineStr">
        <is>
          <t>Incremental visits per year</t>
        </is>
      </c>
      <c r="B9" s="10">
        <f>B7*52</f>
        <v/>
      </c>
    </row>
    <row r="10">
      <c r="A10" s="9" t="inlineStr">
        <is>
          <t>Incremental revenue per year</t>
        </is>
      </c>
      <c r="B10" s="11">
        <f>B8*52</f>
        <v/>
      </c>
    </row>
    <row r="11">
      <c r="A11" s="9" t="inlineStr">
        <is>
          <t>CareYield cost per year</t>
        </is>
      </c>
      <c r="B11" s="11">
        <f>Assumptions!B11*12</f>
        <v/>
      </c>
    </row>
    <row r="12">
      <c r="A12" s="9" t="inlineStr">
        <is>
          <t>Net annual benefit</t>
        </is>
      </c>
      <c r="B12" s="12">
        <f>B10-B11</f>
        <v/>
      </c>
    </row>
    <row r="13">
      <c r="A13" s="9" t="inlineStr">
        <is>
          <t>Return on cost (x)</t>
        </is>
      </c>
      <c r="B13" s="13">
        <f>IF(B11=0,0,B10/B11)</f>
        <v/>
      </c>
    </row>
    <row r="15">
      <c r="A15" s="14" t="inlineStr">
        <is>
          <t>Revenue is counted on incremental visits only — never the naive generated-booking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2026-08-08T23:58:54Z</dcterms:created>
  <dcterms:modified xsi:type="dcterms:W3CDTF">2026-08-08T23:58:54Z</dcterms:modified>
</cp:coreProperties>
</file>